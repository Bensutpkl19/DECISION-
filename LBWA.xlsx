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aguedutr-my.sharepoint.com/personal/bensu_topkul_agu_edu_tr/Documents/Masaüstü/"/>
    </mc:Choice>
  </mc:AlternateContent>
  <xr:revisionPtr revIDLastSave="60" documentId="11_AD4D0BC4A776854ACB15BC4FAED3E61A683EDF1D" xr6:coauthVersionLast="47" xr6:coauthVersionMax="47" xr10:uidLastSave="{211D27EA-7092-411B-9691-A9FC07634D6E}"/>
  <bookViews>
    <workbookView xWindow="9510" yWindow="0" windowWidth="9780" windowHeight="1017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C13" i="1"/>
  <c r="C4" i="1"/>
  <c r="C3" i="1"/>
  <c r="C2" i="1"/>
  <c r="B2" i="1"/>
  <c r="G6" i="1"/>
  <c r="G3" i="1"/>
  <c r="G4" i="1"/>
  <c r="G5" i="1"/>
  <c r="C12" i="1"/>
  <c r="C11" i="1"/>
  <c r="C14" i="1"/>
  <c r="C15" i="1"/>
  <c r="B16" i="1"/>
  <c r="B15" i="1"/>
  <c r="B14" i="1"/>
  <c r="B13" i="1"/>
  <c r="B12" i="1"/>
  <c r="B11" i="1"/>
  <c r="B7" i="1"/>
  <c r="B6" i="1"/>
  <c r="B5" i="1"/>
  <c r="B4" i="1"/>
  <c r="B3" i="1"/>
  <c r="C5" i="1" l="1"/>
  <c r="C6" i="1"/>
</calcChain>
</file>

<file path=xl/sharedStrings.xml><?xml version="1.0" encoding="utf-8"?>
<sst xmlns="http://schemas.openxmlformats.org/spreadsheetml/2006/main" count="21" uniqueCount="9">
  <si>
    <t>Hane geliri</t>
  </si>
  <si>
    <t>Hane nüfusu</t>
  </si>
  <si>
    <t>Araç ve taşınmaz</t>
  </si>
  <si>
    <t>Engelli</t>
  </si>
  <si>
    <t xml:space="preserve">Çocuk sayısı </t>
  </si>
  <si>
    <t>F</t>
  </si>
  <si>
    <t>W</t>
  </si>
  <si>
    <t>TOPLAM</t>
  </si>
  <si>
    <t>Aritmetik 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</si>
</sst>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="80" workbookViewId="0">
      <selection activeCell="G3" sqref="G3"/>
    </sheetView>
  </sheetViews>
  <sheetFormatPr defaultRowHeight="14.5" x14ac:dyDescent="0.35"/>
  <cols>
    <col min="1" max="1" width="16.90625" customWidth="1"/>
    <col min="6" max="6" width="16.7265625" customWidth="1"/>
  </cols>
  <sheetData>
    <row r="1" spans="1:7" x14ac:dyDescent="0.35">
      <c r="B1" t="s">
        <v>5</v>
      </c>
      <c r="C1" t="s">
        <v>6</v>
      </c>
      <c r="F1" t="s">
        <v>8</v>
      </c>
    </row>
    <row r="2" spans="1:7" x14ac:dyDescent="0.35">
      <c r="A2" s="1" t="s">
        <v>0</v>
      </c>
      <c r="B2">
        <f>3/((1*3)+0)</f>
        <v>1</v>
      </c>
      <c r="C2">
        <f>1/B7</f>
        <v>0.33201581027667987</v>
      </c>
      <c r="F2" s="1" t="s">
        <v>0</v>
      </c>
      <c r="G2">
        <f>AVERAGE(C2,C11)</f>
        <v>0.31851335176143358</v>
      </c>
    </row>
    <row r="3" spans="1:7" x14ac:dyDescent="0.35">
      <c r="A3" s="1" t="s">
        <v>1</v>
      </c>
      <c r="B3">
        <f>3/((1*3)+1)</f>
        <v>0.75</v>
      </c>
      <c r="C3">
        <f>B3*$C$2</f>
        <v>0.24901185770750989</v>
      </c>
      <c r="F3" s="1" t="s">
        <v>1</v>
      </c>
      <c r="G3">
        <f>AVERAGE(C3,C12)</f>
        <v>0.23888501382107519</v>
      </c>
    </row>
    <row r="4" spans="1:7" x14ac:dyDescent="0.35">
      <c r="A4" s="1" t="s">
        <v>2</v>
      </c>
      <c r="B4">
        <f>3/((2*3)+1)</f>
        <v>0.42857142857142855</v>
      </c>
      <c r="C4">
        <f>B4*$C$2</f>
        <v>0.14229249011857709</v>
      </c>
      <c r="F4" s="1" t="s">
        <v>2</v>
      </c>
      <c r="G4">
        <f>AVERAGE(C4,C13)</f>
        <v>0.16264951303314473</v>
      </c>
    </row>
    <row r="5" spans="1:7" x14ac:dyDescent="0.35">
      <c r="A5" s="1" t="s">
        <v>3</v>
      </c>
      <c r="B5">
        <f>3/((2*3)+0)</f>
        <v>0.5</v>
      </c>
      <c r="C5">
        <f t="shared" ref="C4:C6" si="0">B5*$C$2</f>
        <v>0.16600790513833993</v>
      </c>
      <c r="F5" s="1" t="s">
        <v>3</v>
      </c>
      <c r="G5">
        <f>AVERAGE(C5,C14)</f>
        <v>0.15925667588071679</v>
      </c>
    </row>
    <row r="6" spans="1:7" x14ac:dyDescent="0.35">
      <c r="A6" s="1" t="s">
        <v>4</v>
      </c>
      <c r="B6">
        <f>3/((3*3)+0)</f>
        <v>0.33333333333333331</v>
      </c>
      <c r="C6">
        <f t="shared" si="0"/>
        <v>0.11067193675889328</v>
      </c>
      <c r="F6" s="1" t="s">
        <v>4</v>
      </c>
      <c r="G6">
        <f>AVERAGE(C6,C15)</f>
        <v>0.12069544550362964</v>
      </c>
    </row>
    <row r="7" spans="1:7" x14ac:dyDescent="0.35">
      <c r="A7" s="1" t="s">
        <v>7</v>
      </c>
      <c r="B7">
        <f>SUM(B2:B6)</f>
        <v>3.0119047619047619</v>
      </c>
    </row>
    <row r="10" spans="1:7" x14ac:dyDescent="0.35">
      <c r="B10" t="s">
        <v>5</v>
      </c>
    </row>
    <row r="11" spans="1:7" x14ac:dyDescent="0.35">
      <c r="A11" s="1" t="s">
        <v>0</v>
      </c>
      <c r="B11">
        <f>3/((1*3)+0)</f>
        <v>1</v>
      </c>
      <c r="C11">
        <f>1/B16</f>
        <v>0.30501089324618735</v>
      </c>
    </row>
    <row r="12" spans="1:7" x14ac:dyDescent="0.35">
      <c r="A12" s="1" t="s">
        <v>1</v>
      </c>
      <c r="B12">
        <f>3/((1*3)+1)</f>
        <v>0.75</v>
      </c>
      <c r="C12">
        <f>B12*$C$11</f>
        <v>0.22875816993464052</v>
      </c>
    </row>
    <row r="13" spans="1:7" x14ac:dyDescent="0.35">
      <c r="A13" s="1" t="s">
        <v>2</v>
      </c>
      <c r="B13">
        <f>3/((1*3)+2)</f>
        <v>0.6</v>
      </c>
      <c r="C13">
        <f>B13*$C$11</f>
        <v>0.18300653594771241</v>
      </c>
    </row>
    <row r="14" spans="1:7" x14ac:dyDescent="0.35">
      <c r="A14" s="1" t="s">
        <v>3</v>
      </c>
      <c r="B14">
        <f>3/((2*3)+0)</f>
        <v>0.5</v>
      </c>
      <c r="C14">
        <f t="shared" ref="C13:C15" si="1">B14*$C$11</f>
        <v>0.15250544662309368</v>
      </c>
    </row>
    <row r="15" spans="1:7" x14ac:dyDescent="0.35">
      <c r="A15" s="1" t="s">
        <v>4</v>
      </c>
      <c r="B15">
        <f>3/((2*3)+1)</f>
        <v>0.42857142857142855</v>
      </c>
      <c r="C15">
        <f t="shared" si="1"/>
        <v>0.13071895424836599</v>
      </c>
    </row>
    <row r="16" spans="1:7" x14ac:dyDescent="0.35">
      <c r="A16" s="1" t="s">
        <v>7</v>
      </c>
      <c r="B16">
        <f>SUM(B11:B15)</f>
        <v>3.2785714285714285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Bensu Topkül</dc:creator>
  <cp:lastModifiedBy>Bensu Topkul</cp:lastModifiedBy>
  <dcterms:created xsi:type="dcterms:W3CDTF">2015-06-05T18:19:34Z</dcterms:created>
  <dcterms:modified xsi:type="dcterms:W3CDTF">2026-08-09T12:19:57Z</dcterms:modified>
</cp:coreProperties>
</file>