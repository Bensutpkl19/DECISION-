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guedutr-my.sharepoint.com/personal/bensu_topkul_agu_edu_tr/Documents/Masaüstü/"/>
    </mc:Choice>
  </mc:AlternateContent>
  <xr:revisionPtr revIDLastSave="73" documentId="11_AD4D0BC4A776854ACB15BC4FAED3E61A683EDF1D" xr6:coauthVersionLast="47" xr6:coauthVersionMax="47" xr10:uidLastSave="{2988A613-D302-41FB-91A5-E99D68DB7DD4}"/>
  <bookViews>
    <workbookView xWindow="-110" yWindow="-110" windowWidth="19420" windowHeight="10300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  <c r="I2" i="1"/>
  <c r="E4" i="1"/>
  <c r="E3" i="1"/>
  <c r="E2" i="1"/>
  <c r="D3" i="1"/>
  <c r="D6" i="1"/>
  <c r="D5" i="1"/>
  <c r="D4" i="1"/>
  <c r="C4" i="1"/>
  <c r="C3" i="1"/>
  <c r="E12" i="1"/>
  <c r="I6" i="1"/>
  <c r="I5" i="1"/>
  <c r="E13" i="1"/>
  <c r="E14" i="1"/>
  <c r="E11" i="1"/>
  <c r="E10" i="1"/>
  <c r="D15" i="1"/>
  <c r="D14" i="1"/>
  <c r="D13" i="1"/>
  <c r="D12" i="1"/>
  <c r="D11" i="1"/>
  <c r="C12" i="1"/>
  <c r="C13" i="1"/>
  <c r="C14" i="1"/>
  <c r="C11" i="1"/>
  <c r="E6" i="1"/>
  <c r="E5" i="1"/>
  <c r="D7" i="1"/>
  <c r="C5" i="1"/>
  <c r="C6" i="1"/>
</calcChain>
</file>

<file path=xl/sharedStrings.xml><?xml version="1.0" encoding="utf-8"?>
<sst xmlns="http://schemas.openxmlformats.org/spreadsheetml/2006/main" count="26" uniqueCount="11">
  <si>
    <t>Hane geliri</t>
  </si>
  <si>
    <t>Hane nüfusu</t>
  </si>
  <si>
    <t>Araç ve taşınmaz</t>
  </si>
  <si>
    <t>Engelli</t>
  </si>
  <si>
    <t xml:space="preserve">Çocuk sayısı </t>
  </si>
  <si>
    <t>toplam</t>
  </si>
  <si>
    <t>sj</t>
  </si>
  <si>
    <t>kj</t>
  </si>
  <si>
    <t>qj</t>
  </si>
  <si>
    <t>wj</t>
  </si>
  <si>
    <t>aritmetik 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</si>
</sst>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zoomScale="60" workbookViewId="0">
      <selection activeCell="I7" sqref="I7"/>
    </sheetView>
  </sheetViews>
  <sheetFormatPr defaultRowHeight="14.5" x14ac:dyDescent="0.35"/>
  <cols>
    <col min="1" max="1" width="16.54296875" customWidth="1"/>
    <col min="8" max="8" width="14.26953125" customWidth="1"/>
  </cols>
  <sheetData>
    <row r="1" spans="1:9" x14ac:dyDescent="0.35">
      <c r="B1" t="s">
        <v>6</v>
      </c>
      <c r="C1" t="s">
        <v>7</v>
      </c>
      <c r="D1" t="s">
        <v>8</v>
      </c>
      <c r="E1" t="s">
        <v>9</v>
      </c>
      <c r="H1" t="s">
        <v>10</v>
      </c>
    </row>
    <row r="2" spans="1:9" x14ac:dyDescent="0.35">
      <c r="A2" s="1" t="s">
        <v>0</v>
      </c>
      <c r="C2">
        <v>1</v>
      </c>
      <c r="D2">
        <v>1</v>
      </c>
      <c r="E2">
        <f>D2/$D$7</f>
        <v>0.43281656891138753</v>
      </c>
      <c r="H2" s="1" t="s">
        <v>0</v>
      </c>
      <c r="I2">
        <f>AVERAGE(E2,E10)</f>
        <v>0.36639663034956371</v>
      </c>
    </row>
    <row r="3" spans="1:9" x14ac:dyDescent="0.35">
      <c r="A3" s="1" t="s">
        <v>1</v>
      </c>
      <c r="B3">
        <v>0.2</v>
      </c>
      <c r="C3">
        <f>2-B3</f>
        <v>1.8</v>
      </c>
      <c r="D3">
        <f>D2/C3</f>
        <v>0.55555555555555558</v>
      </c>
      <c r="E3">
        <f>D3/$D$7</f>
        <v>0.2404536493952153</v>
      </c>
      <c r="H3" s="1" t="s">
        <v>1</v>
      </c>
      <c r="I3">
        <f>AVERAGE(E3,E11)</f>
        <v>0.25657986641930758</v>
      </c>
    </row>
    <row r="4" spans="1:9" x14ac:dyDescent="0.35">
      <c r="A4" s="1" t="s">
        <v>2</v>
      </c>
      <c r="B4">
        <v>0.4</v>
      </c>
      <c r="C4">
        <f>2-B4</f>
        <v>1.6</v>
      </c>
      <c r="D4">
        <f>D3/C4</f>
        <v>0.34722222222222221</v>
      </c>
      <c r="E4">
        <f>D4/$D$7</f>
        <v>0.15028353087200955</v>
      </c>
      <c r="H4" s="1" t="s">
        <v>2</v>
      </c>
      <c r="I4">
        <f>AVERAGE(E4,E13)</f>
        <v>0.14506640221636372</v>
      </c>
    </row>
    <row r="5" spans="1:9" x14ac:dyDescent="0.35">
      <c r="A5" s="1" t="s">
        <v>3</v>
      </c>
      <c r="B5">
        <v>0.7</v>
      </c>
      <c r="C5">
        <f t="shared" ref="C4:C6" si="0">2-B5</f>
        <v>1.3</v>
      </c>
      <c r="D5">
        <f>D4/C5</f>
        <v>0.26709401709401709</v>
      </c>
      <c r="E5">
        <f t="shared" ref="E5" si="1">D5/$D$7</f>
        <v>0.11560271605539196</v>
      </c>
      <c r="H5" s="1" t="s">
        <v>3</v>
      </c>
      <c r="I5">
        <f>AVERAGE(E5,E12)</f>
        <v>0.1626883131982344</v>
      </c>
    </row>
    <row r="6" spans="1:9" x14ac:dyDescent="0.35">
      <c r="A6" s="1" t="s">
        <v>4</v>
      </c>
      <c r="B6">
        <v>0.1</v>
      </c>
      <c r="C6">
        <f t="shared" si="0"/>
        <v>1.9</v>
      </c>
      <c r="D6">
        <f>D5/C6</f>
        <v>0.14057579847053531</v>
      </c>
      <c r="E6">
        <f>D6/$D$7</f>
        <v>6.0843534765995771E-2</v>
      </c>
      <c r="H6" s="1" t="s">
        <v>4</v>
      </c>
      <c r="I6">
        <f>AVERAGE(E6,E14)</f>
        <v>6.9268787816530619E-2</v>
      </c>
    </row>
    <row r="7" spans="1:9" x14ac:dyDescent="0.35">
      <c r="A7" s="1" t="s">
        <v>5</v>
      </c>
      <c r="D7">
        <f>SUM(D2:D6)</f>
        <v>2.3104475933423299</v>
      </c>
    </row>
    <row r="9" spans="1:9" x14ac:dyDescent="0.35">
      <c r="B9" t="s">
        <v>6</v>
      </c>
      <c r="C9" t="s">
        <v>7</v>
      </c>
      <c r="D9" t="s">
        <v>8</v>
      </c>
      <c r="E9" t="s">
        <v>9</v>
      </c>
    </row>
    <row r="10" spans="1:9" x14ac:dyDescent="0.35">
      <c r="A10" s="1" t="s">
        <v>0</v>
      </c>
      <c r="C10">
        <v>1</v>
      </c>
      <c r="D10">
        <v>1</v>
      </c>
      <c r="E10">
        <f>D10/$D$15</f>
        <v>0.29997669178773989</v>
      </c>
    </row>
    <row r="11" spans="1:9" x14ac:dyDescent="0.35">
      <c r="A11" s="1" t="s">
        <v>1</v>
      </c>
      <c r="B11">
        <v>0.9</v>
      </c>
      <c r="C11">
        <f>2-B11</f>
        <v>1.1000000000000001</v>
      </c>
      <c r="D11">
        <f>D10/C11</f>
        <v>0.90909090909090906</v>
      </c>
      <c r="E11">
        <f>D11/$D$15</f>
        <v>0.27270608344339986</v>
      </c>
    </row>
    <row r="12" spans="1:9" x14ac:dyDescent="0.35">
      <c r="A12" s="1" t="s">
        <v>3</v>
      </c>
      <c r="B12">
        <v>0.7</v>
      </c>
      <c r="C12">
        <f t="shared" ref="C12:C14" si="2">2-B12</f>
        <v>1.3</v>
      </c>
      <c r="D12">
        <f>D11/C12</f>
        <v>0.69930069930069927</v>
      </c>
      <c r="E12">
        <f>D12/$D$15</f>
        <v>0.20977391034107681</v>
      </c>
    </row>
    <row r="13" spans="1:9" x14ac:dyDescent="0.35">
      <c r="A13" s="1" t="s">
        <v>2</v>
      </c>
      <c r="B13">
        <v>0.5</v>
      </c>
      <c r="C13">
        <f t="shared" si="2"/>
        <v>1.5</v>
      </c>
      <c r="D13">
        <f>D12/C13</f>
        <v>0.46620046620046618</v>
      </c>
      <c r="E13">
        <f>D13/$D$15</f>
        <v>0.13984927356071788</v>
      </c>
    </row>
    <row r="14" spans="1:9" x14ac:dyDescent="0.35">
      <c r="A14" s="1" t="s">
        <v>4</v>
      </c>
      <c r="B14">
        <v>0.2</v>
      </c>
      <c r="C14">
        <f t="shared" si="2"/>
        <v>1.8</v>
      </c>
      <c r="D14">
        <f>D13/C14</f>
        <v>0.25900025900025897</v>
      </c>
      <c r="E14">
        <f>D14/$D$15</f>
        <v>7.7694040867065481E-2</v>
      </c>
    </row>
    <row r="15" spans="1:9" x14ac:dyDescent="0.35">
      <c r="A15" s="1" t="s">
        <v>5</v>
      </c>
      <c r="D15">
        <f>SUM(D10:D14)</f>
        <v>3.3335923335923336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Bensu Topkül</dc:creator>
  <cp:lastModifiedBy>Bensu Topkul</cp:lastModifiedBy>
  <dcterms:created xsi:type="dcterms:W3CDTF">2015-06-05T18:19:34Z</dcterms:created>
  <dcterms:modified xsi:type="dcterms:W3CDTF">2026-08-09T12:12:33Z</dcterms:modified>
</cp:coreProperties>
</file>