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guedutr-my.sharepoint.com/personal/bensu_topkul_agu_edu_tr/Documents/Masaüstü/"/>
    </mc:Choice>
  </mc:AlternateContent>
  <xr:revisionPtr revIDLastSave="43" documentId="8_{8C27C763-A80F-4BF0-A880-45287CC618BD}" xr6:coauthVersionLast="47" xr6:coauthVersionMax="47" xr10:uidLastSave="{6E149A30-198D-4570-AB8C-A04688C97888}"/>
  <bookViews>
    <workbookView xWindow="-110" yWindow="-110" windowWidth="19420" windowHeight="10300" firstSheet="1" activeTab="3" xr2:uid="{00000000-000D-0000-FFFF-FFFF00000000}"/>
  </bookViews>
  <sheets>
    <sheet name="genel" sheetId="1" r:id="rId1"/>
    <sheet name="1.kişi" sheetId="2" r:id="rId2"/>
    <sheet name="2.kişi" sheetId="3" r:id="rId3"/>
    <sheet name="aritmetik ortalama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2" l="1"/>
  <c r="H2" i="2"/>
  <c r="H6" i="2"/>
  <c r="H5" i="2"/>
  <c r="H4" i="2"/>
  <c r="H3" i="2"/>
  <c r="G4" i="2"/>
  <c r="G5" i="2"/>
  <c r="G3" i="2"/>
  <c r="F5" i="2"/>
  <c r="F4" i="2"/>
  <c r="F3" i="2"/>
  <c r="H2" i="3"/>
  <c r="D3" i="12"/>
  <c r="D4" i="12"/>
  <c r="D5" i="12"/>
  <c r="D6" i="12"/>
  <c r="F3" i="3"/>
  <c r="G3" i="3" s="1"/>
  <c r="F4" i="3"/>
  <c r="F5" i="3"/>
  <c r="F6" i="3"/>
  <c r="F2" i="3"/>
  <c r="F6" i="2"/>
  <c r="F2" i="2"/>
  <c r="D7" i="12" l="1"/>
  <c r="G4" i="3"/>
  <c r="G5" i="3" l="1"/>
  <c r="G6" i="3" l="1"/>
  <c r="G6" i="2"/>
  <c r="H4" i="3" l="1"/>
  <c r="H6" i="3"/>
  <c r="H3" i="3"/>
  <c r="H5" i="3"/>
</calcChain>
</file>

<file path=xl/sharedStrings.xml><?xml version="1.0" encoding="utf-8"?>
<sst xmlns="http://schemas.openxmlformats.org/spreadsheetml/2006/main" count="75" uniqueCount="29">
  <si>
    <t>Kriterler</t>
  </si>
  <si>
    <t>Sıralama</t>
  </si>
  <si>
    <t>K1</t>
  </si>
  <si>
    <t>K2</t>
  </si>
  <si>
    <t>K3</t>
  </si>
  <si>
    <t>K4</t>
  </si>
  <si>
    <t>K5</t>
  </si>
  <si>
    <t>1.KİŞİ</t>
  </si>
  <si>
    <t>2.KİŞİ</t>
  </si>
  <si>
    <t>3.KİŞİ</t>
  </si>
  <si>
    <t>4.KİŞİ</t>
  </si>
  <si>
    <t>5.KİŞİ</t>
  </si>
  <si>
    <t>6.KİŞİ</t>
  </si>
  <si>
    <t>7.KİŞİ</t>
  </si>
  <si>
    <t>8.KİŞİ</t>
  </si>
  <si>
    <t>9.KİŞİ</t>
  </si>
  <si>
    <t>10.KİŞİ</t>
  </si>
  <si>
    <t>Kriter</t>
  </si>
  <si>
    <t>sj</t>
  </si>
  <si>
    <t>kj</t>
  </si>
  <si>
    <t>qj</t>
  </si>
  <si>
    <t>wj</t>
  </si>
  <si>
    <t>Ağırlık</t>
  </si>
  <si>
    <t>Hane geliri</t>
  </si>
  <si>
    <t>Hane nüfusu</t>
  </si>
  <si>
    <t>Araç ve taşınmaz</t>
  </si>
  <si>
    <t>Engelli</t>
  </si>
  <si>
    <t xml:space="preserve">Çocuk sayısı </t>
  </si>
  <si>
    <t xml:space="preserve">aritmetik 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</si>
</sst>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0"/>
    <numFmt numFmtId="167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165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2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T24" sqref="T24:U24"/>
    </sheetView>
  </sheetViews>
  <sheetFormatPr defaultRowHeight="14.5" x14ac:dyDescent="0.35"/>
  <cols>
    <col min="1" max="2" width="10.08984375" customWidth="1"/>
  </cols>
  <sheetData>
    <row r="1" spans="1:11" ht="15" thickBot="1" x14ac:dyDescent="0.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ht="15" thickBot="1" x14ac:dyDescent="0.4">
      <c r="A2" t="s">
        <v>2</v>
      </c>
      <c r="B2" s="1">
        <v>1</v>
      </c>
      <c r="C2" s="1">
        <v>3</v>
      </c>
      <c r="D2" s="1">
        <v>1</v>
      </c>
      <c r="E2" s="1">
        <v>1</v>
      </c>
      <c r="F2" s="1">
        <v>4</v>
      </c>
      <c r="G2" s="1">
        <v>1</v>
      </c>
      <c r="H2" s="1">
        <v>3</v>
      </c>
      <c r="I2" s="1">
        <v>4</v>
      </c>
      <c r="J2" s="1">
        <v>3</v>
      </c>
      <c r="K2" s="1">
        <v>5</v>
      </c>
    </row>
    <row r="3" spans="1:11" ht="15" thickBot="1" x14ac:dyDescent="0.4">
      <c r="A3" t="s">
        <v>3</v>
      </c>
      <c r="B3" s="2">
        <v>4</v>
      </c>
      <c r="C3" s="2">
        <v>1</v>
      </c>
      <c r="D3" s="2">
        <v>4</v>
      </c>
      <c r="E3" s="2">
        <v>3</v>
      </c>
      <c r="F3" s="2">
        <v>5</v>
      </c>
      <c r="G3" s="2">
        <v>5</v>
      </c>
      <c r="H3" s="2">
        <v>4</v>
      </c>
      <c r="I3" s="2">
        <v>5</v>
      </c>
      <c r="J3" s="2">
        <v>2</v>
      </c>
      <c r="K3" s="2">
        <v>3</v>
      </c>
    </row>
    <row r="4" spans="1:11" ht="15" thickBot="1" x14ac:dyDescent="0.4">
      <c r="A4" t="s">
        <v>4</v>
      </c>
      <c r="B4" s="2">
        <v>3</v>
      </c>
      <c r="C4" s="2">
        <v>4</v>
      </c>
      <c r="D4" s="2">
        <v>3</v>
      </c>
      <c r="E4" s="2">
        <v>2</v>
      </c>
      <c r="F4" s="2">
        <v>1</v>
      </c>
      <c r="G4" s="2">
        <v>3</v>
      </c>
      <c r="H4" s="2">
        <v>2</v>
      </c>
      <c r="I4" s="2">
        <v>1</v>
      </c>
      <c r="J4" s="2">
        <v>1</v>
      </c>
      <c r="K4" s="2">
        <v>1</v>
      </c>
    </row>
    <row r="5" spans="1:11" ht="15" thickBot="1" x14ac:dyDescent="0.4">
      <c r="A5" t="s">
        <v>5</v>
      </c>
      <c r="B5" s="2">
        <v>2</v>
      </c>
      <c r="C5" s="2">
        <v>2</v>
      </c>
      <c r="D5" s="2">
        <v>2</v>
      </c>
      <c r="E5" s="2">
        <v>4</v>
      </c>
      <c r="F5" s="2">
        <v>3</v>
      </c>
      <c r="G5" s="2">
        <v>4</v>
      </c>
      <c r="H5" s="2">
        <v>1</v>
      </c>
      <c r="I5" s="2">
        <v>2</v>
      </c>
      <c r="J5" s="2">
        <v>4</v>
      </c>
      <c r="K5" s="2">
        <v>2</v>
      </c>
    </row>
    <row r="6" spans="1:11" ht="15" thickBot="1" x14ac:dyDescent="0.4">
      <c r="A6" t="s">
        <v>6</v>
      </c>
      <c r="B6" s="2">
        <v>5</v>
      </c>
      <c r="C6" s="2">
        <v>5</v>
      </c>
      <c r="D6" s="2">
        <v>5</v>
      </c>
      <c r="E6" s="2">
        <v>5</v>
      </c>
      <c r="F6" s="2">
        <v>2</v>
      </c>
      <c r="G6" s="2">
        <v>2</v>
      </c>
      <c r="H6" s="2">
        <v>5</v>
      </c>
      <c r="I6" s="2">
        <v>3</v>
      </c>
      <c r="J6" s="2">
        <v>5</v>
      </c>
      <c r="K6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="85" workbookViewId="0">
      <selection activeCell="J1" sqref="J1:K6"/>
    </sheetView>
  </sheetViews>
  <sheetFormatPr defaultRowHeight="14.5" x14ac:dyDescent="0.35"/>
  <cols>
    <col min="1" max="1" width="18.81640625" customWidth="1"/>
    <col min="3" max="3" width="14.7265625" customWidth="1"/>
    <col min="5" max="5" width="8.453125" customWidth="1"/>
    <col min="6" max="6" width="10.1796875" customWidth="1"/>
    <col min="7" max="7" width="10.81640625" customWidth="1"/>
    <col min="8" max="8" width="14.453125" customWidth="1"/>
    <col min="10" max="10" width="16" customWidth="1"/>
    <col min="11" max="11" width="9.453125" customWidth="1"/>
  </cols>
  <sheetData>
    <row r="1" spans="1:13" ht="15" thickBot="1" x14ac:dyDescent="0.4">
      <c r="A1" s="3" t="s">
        <v>17</v>
      </c>
      <c r="B1" s="3" t="s">
        <v>1</v>
      </c>
      <c r="C1" s="3" t="s">
        <v>17</v>
      </c>
      <c r="D1" s="3" t="s">
        <v>1</v>
      </c>
      <c r="E1" s="3" t="s">
        <v>18</v>
      </c>
      <c r="F1" s="3" t="s">
        <v>19</v>
      </c>
      <c r="G1" s="3" t="s">
        <v>20</v>
      </c>
      <c r="H1" s="3" t="s">
        <v>21</v>
      </c>
      <c r="I1" s="3"/>
      <c r="J1" s="3" t="s">
        <v>17</v>
      </c>
      <c r="K1" s="3" t="s">
        <v>21</v>
      </c>
      <c r="L1" s="3"/>
      <c r="M1" s="3"/>
    </row>
    <row r="2" spans="1:13" ht="15" thickBot="1" x14ac:dyDescent="0.4">
      <c r="A2" t="s">
        <v>23</v>
      </c>
      <c r="B2" s="1">
        <v>1</v>
      </c>
      <c r="C2" t="s">
        <v>23</v>
      </c>
      <c r="D2" s="1">
        <v>1</v>
      </c>
      <c r="F2">
        <f>E2+1</f>
        <v>1</v>
      </c>
      <c r="G2" s="4">
        <v>1</v>
      </c>
      <c r="H2" s="12">
        <f>G2/SUM($G$2:$G$6)</f>
        <v>0.32289097187962501</v>
      </c>
      <c r="J2" t="s">
        <v>23</v>
      </c>
      <c r="K2" s="5">
        <v>0.32289097187962501</v>
      </c>
    </row>
    <row r="3" spans="1:13" ht="15" thickBot="1" x14ac:dyDescent="0.4">
      <c r="A3" t="s">
        <v>24</v>
      </c>
      <c r="B3" s="2">
        <v>2</v>
      </c>
      <c r="C3" t="s">
        <v>24</v>
      </c>
      <c r="D3" s="2">
        <v>2</v>
      </c>
      <c r="E3">
        <v>0.2</v>
      </c>
      <c r="F3">
        <f>E3+1</f>
        <v>1.2</v>
      </c>
      <c r="G3" s="10">
        <f>G2/F3</f>
        <v>0.83333333333333337</v>
      </c>
      <c r="H3" s="12">
        <f>G3/SUM($G$2:$G$6)</f>
        <v>0.26907580989968755</v>
      </c>
      <c r="J3" t="s">
        <v>24</v>
      </c>
      <c r="K3" s="5">
        <v>0.26907580989968755</v>
      </c>
    </row>
    <row r="4" spans="1:13" ht="15" thickBot="1" x14ac:dyDescent="0.4">
      <c r="A4" t="s">
        <v>25</v>
      </c>
      <c r="B4" s="2">
        <v>3</v>
      </c>
      <c r="C4" t="s">
        <v>25</v>
      </c>
      <c r="D4" s="2">
        <v>3</v>
      </c>
      <c r="E4">
        <v>0.4</v>
      </c>
      <c r="F4">
        <f>E4+1</f>
        <v>1.4</v>
      </c>
      <c r="G4" s="4">
        <f>G3/F4</f>
        <v>0.59523809523809534</v>
      </c>
      <c r="H4" s="12">
        <f>G4/SUM($G$2:$G$6)</f>
        <v>0.19219700707120541</v>
      </c>
      <c r="J4" t="s">
        <v>25</v>
      </c>
      <c r="K4" s="5">
        <v>0.19219700707120541</v>
      </c>
    </row>
    <row r="5" spans="1:13" ht="15" thickBot="1" x14ac:dyDescent="0.4">
      <c r="A5" t="s">
        <v>26</v>
      </c>
      <c r="B5" s="2">
        <v>4</v>
      </c>
      <c r="C5" t="s">
        <v>26</v>
      </c>
      <c r="D5" s="2">
        <v>4</v>
      </c>
      <c r="E5">
        <v>0.7</v>
      </c>
      <c r="F5">
        <f>E5+1</f>
        <v>1.7</v>
      </c>
      <c r="G5" s="11">
        <f>G4/F5</f>
        <v>0.35014005602240905</v>
      </c>
      <c r="H5" s="12">
        <f>G5/SUM($G$2:$G$6)</f>
        <v>0.11305706298306202</v>
      </c>
      <c r="J5" t="s">
        <v>26</v>
      </c>
      <c r="K5" s="5">
        <v>0.11305706298306202</v>
      </c>
    </row>
    <row r="6" spans="1:13" ht="15" thickBot="1" x14ac:dyDescent="0.4">
      <c r="A6" t="s">
        <v>27</v>
      </c>
      <c r="B6" s="2">
        <v>5</v>
      </c>
      <c r="C6" t="s">
        <v>27</v>
      </c>
      <c r="D6" s="2">
        <v>5</v>
      </c>
      <c r="E6">
        <v>0.1</v>
      </c>
      <c r="F6">
        <f t="shared" ref="F3:F6" si="0">E6+1</f>
        <v>1.1000000000000001</v>
      </c>
      <c r="G6" s="4">
        <f t="shared" ref="G4:G6" si="1">G5/F6</f>
        <v>0.31830914183855363</v>
      </c>
      <c r="H6" s="12">
        <f>G6/SUM($G$2:$G$6)</f>
        <v>0.10277914816642</v>
      </c>
      <c r="J6" t="s">
        <v>27</v>
      </c>
      <c r="K6" s="5">
        <v>0.10277914816642</v>
      </c>
    </row>
    <row r="8" spans="1:13" x14ac:dyDescent="0.35">
      <c r="A8">
        <v>1</v>
      </c>
    </row>
  </sheetData>
  <sortState xmlns:xlrd2="http://schemas.microsoft.com/office/spreadsheetml/2017/richdata2" ref="J2:K6">
    <sortCondition ref="J2:J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K6"/>
  <sheetViews>
    <sheetView workbookViewId="0">
      <selection activeCell="H15" sqref="H15"/>
    </sheetView>
  </sheetViews>
  <sheetFormatPr defaultRowHeight="14.5" x14ac:dyDescent="0.35"/>
  <cols>
    <col min="1" max="1" width="10.453125" customWidth="1"/>
    <col min="2" max="2" width="2.81640625" customWidth="1"/>
    <col min="3" max="3" width="20.7265625" customWidth="1"/>
    <col min="8" max="8" width="9.453125" bestFit="1" customWidth="1"/>
    <col min="10" max="10" width="19.08984375" customWidth="1"/>
  </cols>
  <sheetData>
    <row r="1" spans="3:11" ht="15" thickBot="1" x14ac:dyDescent="0.4">
      <c r="C1" s="3" t="s">
        <v>17</v>
      </c>
      <c r="D1" s="3" t="s">
        <v>1</v>
      </c>
      <c r="E1" s="3" t="s">
        <v>18</v>
      </c>
      <c r="F1" s="3" t="s">
        <v>19</v>
      </c>
      <c r="G1" s="3" t="s">
        <v>20</v>
      </c>
      <c r="H1" s="3" t="s">
        <v>21</v>
      </c>
      <c r="I1" s="3"/>
      <c r="J1" s="3" t="s">
        <v>17</v>
      </c>
      <c r="K1" s="3" t="s">
        <v>21</v>
      </c>
    </row>
    <row r="2" spans="3:11" ht="15" thickBot="1" x14ac:dyDescent="0.4">
      <c r="C2" t="s">
        <v>23</v>
      </c>
      <c r="D2" s="1">
        <v>1</v>
      </c>
      <c r="F2">
        <f>1+E2</f>
        <v>1</v>
      </c>
      <c r="G2">
        <v>1</v>
      </c>
      <c r="H2" s="6">
        <f>G2/SUM($G$2:$G$6)</f>
        <v>0.28324227847550226</v>
      </c>
      <c r="J2" t="s">
        <v>23</v>
      </c>
      <c r="K2" s="6">
        <v>0.28324227847550226</v>
      </c>
    </row>
    <row r="3" spans="3:11" ht="15" thickBot="1" x14ac:dyDescent="0.4">
      <c r="C3" t="s">
        <v>24</v>
      </c>
      <c r="D3" s="2">
        <v>2</v>
      </c>
      <c r="E3">
        <v>0.1</v>
      </c>
      <c r="F3">
        <f t="shared" ref="F3:F6" si="0">1+E3</f>
        <v>1.1000000000000001</v>
      </c>
      <c r="G3" s="6">
        <f>G2/F3</f>
        <v>0.90909090909090906</v>
      </c>
      <c r="H3" s="6">
        <f t="shared" ref="H3:H6" si="1">G3/SUM($G$2:$G$6)</f>
        <v>0.25749298043227475</v>
      </c>
      <c r="J3" t="s">
        <v>24</v>
      </c>
      <c r="K3" s="6">
        <v>0.25749298043227475</v>
      </c>
    </row>
    <row r="4" spans="3:11" ht="15" thickBot="1" x14ac:dyDescent="0.4">
      <c r="C4" t="s">
        <v>26</v>
      </c>
      <c r="D4" s="2">
        <v>3</v>
      </c>
      <c r="E4">
        <v>0.3</v>
      </c>
      <c r="F4">
        <f t="shared" si="0"/>
        <v>1.3</v>
      </c>
      <c r="G4" s="6">
        <f t="shared" ref="G4:G6" si="2">G3/F4</f>
        <v>0.69930069930069927</v>
      </c>
      <c r="H4" s="6">
        <f t="shared" si="1"/>
        <v>0.19807152340944212</v>
      </c>
      <c r="J4" t="s">
        <v>26</v>
      </c>
      <c r="K4" s="6">
        <v>0.19807152340944212</v>
      </c>
    </row>
    <row r="5" spans="3:11" ht="15" thickBot="1" x14ac:dyDescent="0.4">
      <c r="C5" t="s">
        <v>25</v>
      </c>
      <c r="D5" s="2">
        <v>4</v>
      </c>
      <c r="E5">
        <v>0.3</v>
      </c>
      <c r="F5">
        <f t="shared" si="0"/>
        <v>1.3</v>
      </c>
      <c r="G5" s="6">
        <f t="shared" si="2"/>
        <v>0.53792361484669171</v>
      </c>
      <c r="H5" s="6">
        <f t="shared" si="1"/>
        <v>0.15236271031495546</v>
      </c>
      <c r="J5" t="s">
        <v>25</v>
      </c>
      <c r="K5" s="6">
        <v>0.15236271031495546</v>
      </c>
    </row>
    <row r="6" spans="3:11" ht="15" thickBot="1" x14ac:dyDescent="0.4">
      <c r="C6" t="s">
        <v>27</v>
      </c>
      <c r="D6" s="2">
        <v>5</v>
      </c>
      <c r="E6">
        <v>0.4</v>
      </c>
      <c r="F6">
        <f t="shared" si="0"/>
        <v>1.4</v>
      </c>
      <c r="G6" s="6">
        <f t="shared" si="2"/>
        <v>0.38423115346192266</v>
      </c>
      <c r="H6" s="6">
        <f t="shared" si="1"/>
        <v>0.10883050736782535</v>
      </c>
      <c r="J6" t="s">
        <v>27</v>
      </c>
      <c r="K6" s="6">
        <v>0.10883050736782535</v>
      </c>
    </row>
  </sheetData>
  <sortState xmlns:xlrd2="http://schemas.microsoft.com/office/spreadsheetml/2017/richdata2" ref="J2:K6">
    <sortCondition ref="J2:J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"/>
  <sheetViews>
    <sheetView tabSelected="1" workbookViewId="0">
      <selection activeCell="D3" sqref="D3"/>
    </sheetView>
  </sheetViews>
  <sheetFormatPr defaultRowHeight="14.5" x14ac:dyDescent="0.35"/>
  <cols>
    <col min="1" max="1" width="17.90625" customWidth="1"/>
    <col min="2" max="3" width="0" hidden="1" customWidth="1"/>
    <col min="4" max="4" width="17" customWidth="1"/>
    <col min="5" max="5" width="21.36328125" customWidth="1"/>
    <col min="6" max="6" width="14.453125" customWidth="1"/>
  </cols>
  <sheetData>
    <row r="1" spans="1:6" x14ac:dyDescent="0.35">
      <c r="A1" s="3" t="s">
        <v>0</v>
      </c>
      <c r="B1" s="3" t="s">
        <v>21</v>
      </c>
      <c r="C1" s="3" t="s">
        <v>21</v>
      </c>
      <c r="D1" s="7" t="s">
        <v>28</v>
      </c>
      <c r="E1" s="3" t="s">
        <v>1</v>
      </c>
      <c r="F1" t="s">
        <v>22</v>
      </c>
    </row>
    <row r="2" spans="1:6" x14ac:dyDescent="0.35">
      <c r="A2" t="s">
        <v>23</v>
      </c>
      <c r="B2" s="5">
        <v>0.32289097187962501</v>
      </c>
      <c r="C2" s="5">
        <v>0.28324227847550226</v>
      </c>
      <c r="D2" s="9">
        <f>AVERAGE(B2:C2)</f>
        <v>0.30306662517756366</v>
      </c>
      <c r="E2" t="s">
        <v>23</v>
      </c>
      <c r="F2">
        <v>0.303066625177564</v>
      </c>
    </row>
    <row r="3" spans="1:6" x14ac:dyDescent="0.35">
      <c r="A3" t="s">
        <v>24</v>
      </c>
      <c r="B3" s="5">
        <v>0.26907580989968755</v>
      </c>
      <c r="C3" s="5">
        <v>0.25749298043227475</v>
      </c>
      <c r="D3" s="9">
        <f>AVERAGE(B3:C3)</f>
        <v>0.26328439516598112</v>
      </c>
      <c r="E3" t="s">
        <v>24</v>
      </c>
      <c r="F3">
        <v>0.26328439516598112</v>
      </c>
    </row>
    <row r="4" spans="1:6" x14ac:dyDescent="0.35">
      <c r="A4" t="s">
        <v>25</v>
      </c>
      <c r="B4" s="5">
        <v>0.19219700707120541</v>
      </c>
      <c r="C4" s="6">
        <v>0.15236271031495546</v>
      </c>
      <c r="D4" s="9">
        <f>AVERAGE(B4:C4)</f>
        <v>0.17227985869308043</v>
      </c>
      <c r="E4" t="s">
        <v>25</v>
      </c>
      <c r="F4">
        <v>0.17227985869308043</v>
      </c>
    </row>
    <row r="5" spans="1:6" x14ac:dyDescent="0.35">
      <c r="A5" t="s">
        <v>26</v>
      </c>
      <c r="B5" s="5">
        <v>0.11305706298306202</v>
      </c>
      <c r="C5" s="6">
        <v>0.19807152340944212</v>
      </c>
      <c r="D5" s="9">
        <f>AVERAGE(B5:C5)</f>
        <v>0.15556429319625206</v>
      </c>
      <c r="E5" t="s">
        <v>26</v>
      </c>
      <c r="F5">
        <v>0.15556429319625206</v>
      </c>
    </row>
    <row r="6" spans="1:6" x14ac:dyDescent="0.35">
      <c r="A6" t="s">
        <v>27</v>
      </c>
      <c r="B6" s="5">
        <v>0.10277914816642</v>
      </c>
      <c r="C6" s="6">
        <v>0.10883050736782535</v>
      </c>
      <c r="D6" s="9">
        <f>AVERAGE(B6:C6)</f>
        <v>0.10580482776712268</v>
      </c>
      <c r="E6" t="s">
        <v>27</v>
      </c>
      <c r="F6">
        <v>0.10580482776712268</v>
      </c>
    </row>
    <row r="7" spans="1:6" x14ac:dyDescent="0.35">
      <c r="D7" s="8">
        <f>SUM(D2:D6)</f>
        <v>0.99999999999999989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genel</vt:lpstr>
      <vt:lpstr>1.kişi</vt:lpstr>
      <vt:lpstr>2.kişi</vt:lpstr>
      <vt:lpstr>aritmetik ortalama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DOLANBAY</dc:creator>
  <cp:lastModifiedBy>Bensu Topkul</cp:lastModifiedBy>
  <dcterms:created xsi:type="dcterms:W3CDTF">2015-06-05T18:17:20Z</dcterms:created>
  <dcterms:modified xsi:type="dcterms:W3CDTF">2026-08-09T12:15:36Z</dcterms:modified>
</cp:coreProperties>
</file>